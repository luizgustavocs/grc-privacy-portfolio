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BE3A6"/>
        </patternFill>
      </fill>
    </dxf>
    <dxf>
      <fill>
        <patternFill patternType="solid">
          <fgColor rgb="00CDEBC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Risk register: VitaClin (fictitious)</t>
        </is>
      </c>
    </row>
    <row r="2">
      <c r="A2" s="2" t="inlineStr">
        <is>
          <t>Scores and levels are calculated automatically. Target for week 6: 20 risks covering privacy, security, third parties, continuity and regulation (LGPD, GDPR, NIS2 context).</t>
        </is>
      </c>
    </row>
    <row r="3">
      <c r="A3" s="2" t="inlineStr">
        <is>
          <t>Blue row = fictitious example.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2" customWidth="1" min="2" max="2"/>
    <col width="18" customWidth="1" min="3" max="3"/>
    <col width="18" customWidth="1" min="4" max="4"/>
    <col width="22" customWidth="1" min="5" max="5"/>
    <col width="14" customWidth="1" min="6" max="6"/>
    <col width="11" customWidth="1" min="7" max="7"/>
    <col width="10" customWidth="1" min="8" max="8"/>
    <col width="10" customWidth="1" min="9" max="9"/>
    <col width="11" customWidth="1" min="10" max="10"/>
    <col width="16" customWidth="1" min="11" max="11"/>
    <col width="20" customWidth="1" min="12" max="12"/>
    <col width="30" customWidth="1" min="13" max="13"/>
    <col width="12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</cols>
  <sheetData>
    <row r="1" ht="45" customHeight="1">
      <c r="A1" s="3" t="inlineStr">
        <is>
          <t>ID</t>
        </is>
      </c>
      <c r="B1" s="3" t="inlineStr">
        <is>
          <t>Risk description (cause, event, consequence)</t>
        </is>
      </c>
      <c r="C1" s="3" t="inlineStr">
        <is>
          <t>Asset / process</t>
        </is>
      </c>
      <c r="D1" s="3" t="inlineStr">
        <is>
          <t>Threat</t>
        </is>
      </c>
      <c r="E1" s="3" t="inlineStr">
        <is>
          <t>Vulnerability</t>
        </is>
      </c>
      <c r="F1" s="3" t="inlineStr">
        <is>
          <t>Owner</t>
        </is>
      </c>
      <c r="G1" s="3" t="inlineStr">
        <is>
          <t>Probability (1-5)</t>
        </is>
      </c>
      <c r="H1" s="3" t="inlineStr">
        <is>
          <t>Impact (1-5)</t>
        </is>
      </c>
      <c r="I1" s="3" t="inlineStr">
        <is>
          <t>Inherent score</t>
        </is>
      </c>
      <c r="J1" s="3" t="inlineStr">
        <is>
          <t>Inherent level</t>
        </is>
      </c>
      <c r="K1" s="3" t="inlineStr">
        <is>
          <t>Treatment (mitigate / accept / transfer / avoid)</t>
        </is>
      </c>
      <c r="L1" s="3" t="inlineStr">
        <is>
          <t>Controls (ISO/IEC 27002)</t>
        </is>
      </c>
      <c r="M1" s="3" t="inlineStr">
        <is>
          <t>Action plan</t>
        </is>
      </c>
      <c r="N1" s="3" t="inlineStr">
        <is>
          <t>Due date</t>
        </is>
      </c>
      <c r="O1" s="3" t="inlineStr">
        <is>
          <t>Residual probability</t>
        </is>
      </c>
      <c r="P1" s="3" t="inlineStr">
        <is>
          <t>Residual impact</t>
        </is>
      </c>
      <c r="Q1" s="3" t="inlineStr">
        <is>
          <t>Residual score</t>
        </is>
      </c>
      <c r="R1" s="3" t="inlineStr">
        <is>
          <t>Residual level</t>
        </is>
      </c>
      <c r="S1" s="3" t="inlineStr">
        <is>
          <t>Status</t>
        </is>
      </c>
    </row>
    <row r="2">
      <c r="A2" s="4" t="inlineStr">
        <is>
          <t>R-01</t>
        </is>
      </c>
      <c r="B2" s="4" t="inlineStr">
        <is>
          <t>Weak access control to health records leads to unauthorised access to sensitive patient data, causing harm to patients and regulatory sanctions</t>
        </is>
      </c>
      <c r="C2" s="4" t="inlineStr">
        <is>
          <t>Electronic health record</t>
        </is>
      </c>
      <c r="D2" s="4" t="inlineStr">
        <is>
          <t>Credential theft</t>
        </is>
      </c>
      <c r="E2" s="4" t="inlineStr">
        <is>
          <t>No MFA for clinic users; no periodic access review</t>
        </is>
      </c>
      <c r="F2" s="4" t="inlineStr">
        <is>
          <t>CTO</t>
        </is>
      </c>
      <c r="G2" s="4" t="n">
        <v>4</v>
      </c>
      <c r="H2" s="4" t="n">
        <v>5</v>
      </c>
      <c r="I2" s="4">
        <f>IF(AND(G2&lt;&gt;"",H2&lt;&gt;""),G2*H2,"")</f>
        <v/>
      </c>
      <c r="J2" s="4">
        <f>IF(I2="","",IF(I2&gt;=15,"High",IF(I2&gt;=8,"Medium","Low")))</f>
        <v/>
      </c>
      <c r="K2" s="4" t="inlineStr">
        <is>
          <t>Mitigate</t>
        </is>
      </c>
      <c r="L2" s="4" t="inlineStr">
        <is>
          <t>5.15, 5.18, 8.5</t>
        </is>
      </c>
      <c r="M2" s="4" t="inlineStr">
        <is>
          <t>Enforce MFA; quarterly access review; alert on anomalous access</t>
        </is>
      </c>
      <c r="N2" s="4" t="inlineStr">
        <is>
          <t>YYYY-MM-DD</t>
        </is>
      </c>
      <c r="O2" s="4" t="n">
        <v>2</v>
      </c>
      <c r="P2" s="4" t="n">
        <v>5</v>
      </c>
      <c r="Q2" s="4">
        <f>IF(AND(O2&lt;&gt;"",P2&lt;&gt;""),O2*P2,"")</f>
        <v/>
      </c>
      <c r="R2" s="4">
        <f>IF(Q2="","",IF(Q2&gt;=15,"High",IF(Q2&gt;=8,"Medium","Low")))</f>
        <v/>
      </c>
      <c r="S2" s="4" t="inlineStr">
        <is>
          <t>Open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>
        <f>IF(AND(G3&lt;&gt;"",H3&lt;&gt;""),G3*H3,"")</f>
        <v/>
      </c>
      <c r="J3" s="5">
        <f>IF(I3="","",IF(I3&gt;=15,"High",IF(I3&gt;=8,"Medium","Low")))</f>
        <v/>
      </c>
      <c r="K3" s="5" t="n"/>
      <c r="L3" s="5" t="n"/>
      <c r="M3" s="5" t="n"/>
      <c r="N3" s="5" t="n"/>
      <c r="O3" s="5" t="n"/>
      <c r="P3" s="5" t="n"/>
      <c r="Q3" s="5">
        <f>IF(AND(O3&lt;&gt;"",P3&lt;&gt;""),O3*P3,"")</f>
        <v/>
      </c>
      <c r="R3" s="5">
        <f>IF(Q3="","",IF(Q3&gt;=15,"High",IF(Q3&gt;=8,"Medium","Low")))</f>
        <v/>
      </c>
      <c r="S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>
        <f>IF(AND(G4&lt;&gt;"",H4&lt;&gt;""),G4*H4,"")</f>
        <v/>
      </c>
      <c r="J4" s="5">
        <f>IF(I4="","",IF(I4&gt;=15,"High",IF(I4&gt;=8,"Medium","Low")))</f>
        <v/>
      </c>
      <c r="K4" s="5" t="n"/>
      <c r="L4" s="5" t="n"/>
      <c r="M4" s="5" t="n"/>
      <c r="N4" s="5" t="n"/>
      <c r="O4" s="5" t="n"/>
      <c r="P4" s="5" t="n"/>
      <c r="Q4" s="5">
        <f>IF(AND(O4&lt;&gt;"",P4&lt;&gt;""),O4*P4,"")</f>
        <v/>
      </c>
      <c r="R4" s="5">
        <f>IF(Q4="","",IF(Q4&gt;=15,"High",IF(Q4&gt;=8,"Medium","Low")))</f>
        <v/>
      </c>
      <c r="S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>
        <f>IF(AND(G5&lt;&gt;"",H5&lt;&gt;""),G5*H5,"")</f>
        <v/>
      </c>
      <c r="J5" s="5">
        <f>IF(I5="","",IF(I5&gt;=15,"High",IF(I5&gt;=8,"Medium","Low")))</f>
        <v/>
      </c>
      <c r="K5" s="5" t="n"/>
      <c r="L5" s="5" t="n"/>
      <c r="M5" s="5" t="n"/>
      <c r="N5" s="5" t="n"/>
      <c r="O5" s="5" t="n"/>
      <c r="P5" s="5" t="n"/>
      <c r="Q5" s="5">
        <f>IF(AND(O5&lt;&gt;"",P5&lt;&gt;""),O5*P5,"")</f>
        <v/>
      </c>
      <c r="R5" s="5">
        <f>IF(Q5="","",IF(Q5&gt;=15,"High",IF(Q5&gt;=8,"Medium","Low")))</f>
        <v/>
      </c>
      <c r="S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>
        <f>IF(AND(G6&lt;&gt;"",H6&lt;&gt;""),G6*H6,"")</f>
        <v/>
      </c>
      <c r="J6" s="5">
        <f>IF(I6="","",IF(I6&gt;=15,"High",IF(I6&gt;=8,"Medium","Low")))</f>
        <v/>
      </c>
      <c r="K6" s="5" t="n"/>
      <c r="L6" s="5" t="n"/>
      <c r="M6" s="5" t="n"/>
      <c r="N6" s="5" t="n"/>
      <c r="O6" s="5" t="n"/>
      <c r="P6" s="5" t="n"/>
      <c r="Q6" s="5">
        <f>IF(AND(O6&lt;&gt;"",P6&lt;&gt;""),O6*P6,"")</f>
        <v/>
      </c>
      <c r="R6" s="5">
        <f>IF(Q6="","",IF(Q6&gt;=15,"High",IF(Q6&gt;=8,"Medium","Low")))</f>
        <v/>
      </c>
      <c r="S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>
        <f>IF(AND(G7&lt;&gt;"",H7&lt;&gt;""),G7*H7,"")</f>
        <v/>
      </c>
      <c r="J7" s="5">
        <f>IF(I7="","",IF(I7&gt;=15,"High",IF(I7&gt;=8,"Medium","Low")))</f>
        <v/>
      </c>
      <c r="K7" s="5" t="n"/>
      <c r="L7" s="5" t="n"/>
      <c r="M7" s="5" t="n"/>
      <c r="N7" s="5" t="n"/>
      <c r="O7" s="5" t="n"/>
      <c r="P7" s="5" t="n"/>
      <c r="Q7" s="5">
        <f>IF(AND(O7&lt;&gt;"",P7&lt;&gt;""),O7*P7,"")</f>
        <v/>
      </c>
      <c r="R7" s="5">
        <f>IF(Q7="","",IF(Q7&gt;=15,"High",IF(Q7&gt;=8,"Medium","Low")))</f>
        <v/>
      </c>
      <c r="S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>
        <f>IF(AND(G8&lt;&gt;"",H8&lt;&gt;""),G8*H8,"")</f>
        <v/>
      </c>
      <c r="J8" s="5">
        <f>IF(I8="","",IF(I8&gt;=15,"High",IF(I8&gt;=8,"Medium","Low")))</f>
        <v/>
      </c>
      <c r="K8" s="5" t="n"/>
      <c r="L8" s="5" t="n"/>
      <c r="M8" s="5" t="n"/>
      <c r="N8" s="5" t="n"/>
      <c r="O8" s="5" t="n"/>
      <c r="P8" s="5" t="n"/>
      <c r="Q8" s="5">
        <f>IF(AND(O8&lt;&gt;"",P8&lt;&gt;""),O8*P8,"")</f>
        <v/>
      </c>
      <c r="R8" s="5">
        <f>IF(Q8="","",IF(Q8&gt;=15,"High",IF(Q8&gt;=8,"Medium","Low")))</f>
        <v/>
      </c>
      <c r="S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>
        <f>IF(AND(G9&lt;&gt;"",H9&lt;&gt;""),G9*H9,"")</f>
        <v/>
      </c>
      <c r="J9" s="5">
        <f>IF(I9="","",IF(I9&gt;=15,"High",IF(I9&gt;=8,"Medium","Low")))</f>
        <v/>
      </c>
      <c r="K9" s="5" t="n"/>
      <c r="L9" s="5" t="n"/>
      <c r="M9" s="5" t="n"/>
      <c r="N9" s="5" t="n"/>
      <c r="O9" s="5" t="n"/>
      <c r="P9" s="5" t="n"/>
      <c r="Q9" s="5">
        <f>IF(AND(O9&lt;&gt;"",P9&lt;&gt;""),O9*P9,"")</f>
        <v/>
      </c>
      <c r="R9" s="5">
        <f>IF(Q9="","",IF(Q9&gt;=15,"High",IF(Q9&gt;=8,"Medium","Low")))</f>
        <v/>
      </c>
      <c r="S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>
        <f>IF(AND(G10&lt;&gt;"",H10&lt;&gt;""),G10*H10,"")</f>
        <v/>
      </c>
      <c r="J10" s="5">
        <f>IF(I10="","",IF(I10&gt;=15,"High",IF(I10&gt;=8,"Medium","Low")))</f>
        <v/>
      </c>
      <c r="K10" s="5" t="n"/>
      <c r="L10" s="5" t="n"/>
      <c r="M10" s="5" t="n"/>
      <c r="N10" s="5" t="n"/>
      <c r="O10" s="5" t="n"/>
      <c r="P10" s="5" t="n"/>
      <c r="Q10" s="5">
        <f>IF(AND(O10&lt;&gt;"",P10&lt;&gt;""),O10*P10,"")</f>
        <v/>
      </c>
      <c r="R10" s="5">
        <f>IF(Q10="","",IF(Q10&gt;=15,"High",IF(Q10&gt;=8,"Medium","Low")))</f>
        <v/>
      </c>
      <c r="S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>
        <f>IF(AND(G11&lt;&gt;"",H11&lt;&gt;""),G11*H11,"")</f>
        <v/>
      </c>
      <c r="J11" s="5">
        <f>IF(I11="","",IF(I11&gt;=15,"High",IF(I11&gt;=8,"Medium","Low")))</f>
        <v/>
      </c>
      <c r="K11" s="5" t="n"/>
      <c r="L11" s="5" t="n"/>
      <c r="M11" s="5" t="n"/>
      <c r="N11" s="5" t="n"/>
      <c r="O11" s="5" t="n"/>
      <c r="P11" s="5" t="n"/>
      <c r="Q11" s="5">
        <f>IF(AND(O11&lt;&gt;"",P11&lt;&gt;""),O11*P11,"")</f>
        <v/>
      </c>
      <c r="R11" s="5">
        <f>IF(Q11="","",IF(Q11&gt;=15,"High",IF(Q11&gt;=8,"Medium","Low")))</f>
        <v/>
      </c>
      <c r="S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>
        <f>IF(AND(G12&lt;&gt;"",H12&lt;&gt;""),G12*H12,"")</f>
        <v/>
      </c>
      <c r="J12" s="5">
        <f>IF(I12="","",IF(I12&gt;=15,"High",IF(I12&gt;=8,"Medium","Low")))</f>
        <v/>
      </c>
      <c r="K12" s="5" t="n"/>
      <c r="L12" s="5" t="n"/>
      <c r="M12" s="5" t="n"/>
      <c r="N12" s="5" t="n"/>
      <c r="O12" s="5" t="n"/>
      <c r="P12" s="5" t="n"/>
      <c r="Q12" s="5">
        <f>IF(AND(O12&lt;&gt;"",P12&lt;&gt;""),O12*P12,"")</f>
        <v/>
      </c>
      <c r="R12" s="5">
        <f>IF(Q12="","",IF(Q12&gt;=15,"High",IF(Q12&gt;=8,"Medium","Low")))</f>
        <v/>
      </c>
      <c r="S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>
        <f>IF(AND(G13&lt;&gt;"",H13&lt;&gt;""),G13*H13,"")</f>
        <v/>
      </c>
      <c r="J13" s="5">
        <f>IF(I13="","",IF(I13&gt;=15,"High",IF(I13&gt;=8,"Medium","Low")))</f>
        <v/>
      </c>
      <c r="K13" s="5" t="n"/>
      <c r="L13" s="5" t="n"/>
      <c r="M13" s="5" t="n"/>
      <c r="N13" s="5" t="n"/>
      <c r="O13" s="5" t="n"/>
      <c r="P13" s="5" t="n"/>
      <c r="Q13" s="5">
        <f>IF(AND(O13&lt;&gt;"",P13&lt;&gt;""),O13*P13,"")</f>
        <v/>
      </c>
      <c r="R13" s="5">
        <f>IF(Q13="","",IF(Q13&gt;=15,"High",IF(Q13&gt;=8,"Medium","Low")))</f>
        <v/>
      </c>
      <c r="S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>
        <f>IF(AND(G14&lt;&gt;"",H14&lt;&gt;""),G14*H14,"")</f>
        <v/>
      </c>
      <c r="J14" s="5">
        <f>IF(I14="","",IF(I14&gt;=15,"High",IF(I14&gt;=8,"Medium","Low")))</f>
        <v/>
      </c>
      <c r="K14" s="5" t="n"/>
      <c r="L14" s="5" t="n"/>
      <c r="M14" s="5" t="n"/>
      <c r="N14" s="5" t="n"/>
      <c r="O14" s="5" t="n"/>
      <c r="P14" s="5" t="n"/>
      <c r="Q14" s="5">
        <f>IF(AND(O14&lt;&gt;"",P14&lt;&gt;""),O14*P14,"")</f>
        <v/>
      </c>
      <c r="R14" s="5">
        <f>IF(Q14="","",IF(Q14&gt;=15,"High",IF(Q14&gt;=8,"Medium","Low")))</f>
        <v/>
      </c>
      <c r="S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>
        <f>IF(AND(G15&lt;&gt;"",H15&lt;&gt;""),G15*H15,"")</f>
        <v/>
      </c>
      <c r="J15" s="5">
        <f>IF(I15="","",IF(I15&gt;=15,"High",IF(I15&gt;=8,"Medium","Low")))</f>
        <v/>
      </c>
      <c r="K15" s="5" t="n"/>
      <c r="L15" s="5" t="n"/>
      <c r="M15" s="5" t="n"/>
      <c r="N15" s="5" t="n"/>
      <c r="O15" s="5" t="n"/>
      <c r="P15" s="5" t="n"/>
      <c r="Q15" s="5">
        <f>IF(AND(O15&lt;&gt;"",P15&lt;&gt;""),O15*P15,"")</f>
        <v/>
      </c>
      <c r="R15" s="5">
        <f>IF(Q15="","",IF(Q15&gt;=15,"High",IF(Q15&gt;=8,"Medium","Low")))</f>
        <v/>
      </c>
      <c r="S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>
        <f>IF(AND(G16&lt;&gt;"",H16&lt;&gt;""),G16*H16,"")</f>
        <v/>
      </c>
      <c r="J16" s="5">
        <f>IF(I16="","",IF(I16&gt;=15,"High",IF(I16&gt;=8,"Medium","Low")))</f>
        <v/>
      </c>
      <c r="K16" s="5" t="n"/>
      <c r="L16" s="5" t="n"/>
      <c r="M16" s="5" t="n"/>
      <c r="N16" s="5" t="n"/>
      <c r="O16" s="5" t="n"/>
      <c r="P16" s="5" t="n"/>
      <c r="Q16" s="5">
        <f>IF(AND(O16&lt;&gt;"",P16&lt;&gt;""),O16*P16,"")</f>
        <v/>
      </c>
      <c r="R16" s="5">
        <f>IF(Q16="","",IF(Q16&gt;=15,"High",IF(Q16&gt;=8,"Medium","Low")))</f>
        <v/>
      </c>
      <c r="S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>
        <f>IF(AND(G17&lt;&gt;"",H17&lt;&gt;""),G17*H17,"")</f>
        <v/>
      </c>
      <c r="J17" s="5">
        <f>IF(I17="","",IF(I17&gt;=15,"High",IF(I17&gt;=8,"Medium","Low")))</f>
        <v/>
      </c>
      <c r="K17" s="5" t="n"/>
      <c r="L17" s="5" t="n"/>
      <c r="M17" s="5" t="n"/>
      <c r="N17" s="5" t="n"/>
      <c r="O17" s="5" t="n"/>
      <c r="P17" s="5" t="n"/>
      <c r="Q17" s="5">
        <f>IF(AND(O17&lt;&gt;"",P17&lt;&gt;""),O17*P17,"")</f>
        <v/>
      </c>
      <c r="R17" s="5">
        <f>IF(Q17="","",IF(Q17&gt;=15,"High",IF(Q17&gt;=8,"Medium","Low")))</f>
        <v/>
      </c>
      <c r="S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>
        <f>IF(AND(G18&lt;&gt;"",H18&lt;&gt;""),G18*H18,"")</f>
        <v/>
      </c>
      <c r="J18" s="5">
        <f>IF(I18="","",IF(I18&gt;=15,"High",IF(I18&gt;=8,"Medium","Low")))</f>
        <v/>
      </c>
      <c r="K18" s="5" t="n"/>
      <c r="L18" s="5" t="n"/>
      <c r="M18" s="5" t="n"/>
      <c r="N18" s="5" t="n"/>
      <c r="O18" s="5" t="n"/>
      <c r="P18" s="5" t="n"/>
      <c r="Q18" s="5">
        <f>IF(AND(O18&lt;&gt;"",P18&lt;&gt;""),O18*P18,"")</f>
        <v/>
      </c>
      <c r="R18" s="5">
        <f>IF(Q18="","",IF(Q18&gt;=15,"High",IF(Q18&gt;=8,"Medium","Low")))</f>
        <v/>
      </c>
      <c r="S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>
        <f>IF(AND(G19&lt;&gt;"",H19&lt;&gt;""),G19*H19,"")</f>
        <v/>
      </c>
      <c r="J19" s="5">
        <f>IF(I19="","",IF(I19&gt;=15,"High",IF(I19&gt;=8,"Medium","Low")))</f>
        <v/>
      </c>
      <c r="K19" s="5" t="n"/>
      <c r="L19" s="5" t="n"/>
      <c r="M19" s="5" t="n"/>
      <c r="N19" s="5" t="n"/>
      <c r="O19" s="5" t="n"/>
      <c r="P19" s="5" t="n"/>
      <c r="Q19" s="5">
        <f>IF(AND(O19&lt;&gt;"",P19&lt;&gt;""),O19*P19,"")</f>
        <v/>
      </c>
      <c r="R19" s="5">
        <f>IF(Q19="","",IF(Q19&gt;=15,"High",IF(Q19&gt;=8,"Medium","Low")))</f>
        <v/>
      </c>
      <c r="S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>
        <f>IF(AND(G20&lt;&gt;"",H20&lt;&gt;""),G20*H20,"")</f>
        <v/>
      </c>
      <c r="J20" s="5">
        <f>IF(I20="","",IF(I20&gt;=15,"High",IF(I20&gt;=8,"Medium","Low")))</f>
        <v/>
      </c>
      <c r="K20" s="5" t="n"/>
      <c r="L20" s="5" t="n"/>
      <c r="M20" s="5" t="n"/>
      <c r="N20" s="5" t="n"/>
      <c r="O20" s="5" t="n"/>
      <c r="P20" s="5" t="n"/>
      <c r="Q20" s="5">
        <f>IF(AND(O20&lt;&gt;"",P20&lt;&gt;""),O20*P20,"")</f>
        <v/>
      </c>
      <c r="R20" s="5">
        <f>IF(Q20="","",IF(Q20&gt;=15,"High",IF(Q20&gt;=8,"Medium","Low")))</f>
        <v/>
      </c>
      <c r="S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>
        <f>IF(AND(G21&lt;&gt;"",H21&lt;&gt;""),G21*H21,"")</f>
        <v/>
      </c>
      <c r="J21" s="5">
        <f>IF(I21="","",IF(I21&gt;=15,"High",IF(I21&gt;=8,"Medium","Low")))</f>
        <v/>
      </c>
      <c r="K21" s="5" t="n"/>
      <c r="L21" s="5" t="n"/>
      <c r="M21" s="5" t="n"/>
      <c r="N21" s="5" t="n"/>
      <c r="O21" s="5" t="n"/>
      <c r="P21" s="5" t="n"/>
      <c r="Q21" s="5">
        <f>IF(AND(O21&lt;&gt;"",P21&lt;&gt;""),O21*P21,"")</f>
        <v/>
      </c>
      <c r="R21" s="5">
        <f>IF(Q21="","",IF(Q21&gt;=15,"High",IF(Q21&gt;=8,"Medium","Low")))</f>
        <v/>
      </c>
      <c r="S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>
        <f>IF(AND(G22&lt;&gt;"",H22&lt;&gt;""),G22*H22,"")</f>
        <v/>
      </c>
      <c r="J22" s="5">
        <f>IF(I22="","",IF(I22&gt;=15,"High",IF(I22&gt;=8,"Medium","Low")))</f>
        <v/>
      </c>
      <c r="K22" s="5" t="n"/>
      <c r="L22" s="5" t="n"/>
      <c r="M22" s="5" t="n"/>
      <c r="N22" s="5" t="n"/>
      <c r="O22" s="5" t="n"/>
      <c r="P22" s="5" t="n"/>
      <c r="Q22" s="5">
        <f>IF(AND(O22&lt;&gt;"",P22&lt;&gt;""),O22*P22,"")</f>
        <v/>
      </c>
      <c r="R22" s="5">
        <f>IF(Q22="","",IF(Q22&gt;=15,"High",IF(Q22&gt;=8,"Medium","Low")))</f>
        <v/>
      </c>
      <c r="S22" s="5" t="n"/>
    </row>
  </sheetData>
  <conditionalFormatting sqref="J2:J22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R2:R22">
    <cfRule type="cellIs" priority="4" operator="equal" dxfId="0">
      <formula>"High"</formula>
    </cfRule>
    <cfRule type="cellIs" priority="5" operator="equal" dxfId="1">
      <formula>"Medium"</formula>
    </cfRule>
    <cfRule type="cellIs" priority="6" operator="equal" dxfId="2">
      <formula>"Low"</formula>
    </cfRule>
  </conditionalFormatting>
  <dataValidations count="3">
    <dataValidation sqref="G2:G22 H2:H22 O2:O22 P2:P22" showDropDown="0" showInputMessage="0" showErrorMessage="0" allowBlank="1" type="whole" operator="between">
      <formula1>1</formula1>
      <formula2>5</formula2>
    </dataValidation>
    <dataValidation sqref="K2:K22" showDropDown="0" showInputMessage="0" showErrorMessage="0" allowBlank="1" type="list">
      <formula1>"Mitigate,Accept,Transfer,Avoid"</formula1>
    </dataValidation>
    <dataValidation sqref="S2:S22" showDropDown="0" showInputMessage="0" showErrorMessage="0" allowBlank="1" type="list">
      <formula1>"Open,In progress,Closed"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6" t="inlineStr">
        <is>
          <t>Scale</t>
        </is>
      </c>
      <c r="B1" s="6" t="inlineStr">
        <is>
          <t>Meaning</t>
        </is>
      </c>
    </row>
    <row r="2">
      <c r="A2" t="inlineStr">
        <is>
          <t>Probability 1</t>
        </is>
      </c>
      <c r="B2" t="inlineStr">
        <is>
          <t>Rare: not expected in the next 3 years</t>
        </is>
      </c>
    </row>
    <row r="3">
      <c r="A3" t="inlineStr">
        <is>
          <t>Probability 3</t>
        </is>
      </c>
      <c r="B3" t="inlineStr">
        <is>
          <t>Possible: could happen once a year</t>
        </is>
      </c>
    </row>
    <row r="4">
      <c r="A4" t="inlineStr">
        <is>
          <t>Probability 5</t>
        </is>
      </c>
      <c r="B4" t="inlineStr">
        <is>
          <t>Almost certain: expected several times a year</t>
        </is>
      </c>
    </row>
    <row r="5">
      <c r="A5" t="inlineStr">
        <is>
          <t>Impact 1</t>
        </is>
      </c>
      <c r="B5" t="inlineStr">
        <is>
          <t>Negligible: no effect on data subjects or operations</t>
        </is>
      </c>
    </row>
    <row r="6">
      <c r="A6" t="inlineStr">
        <is>
          <t>Impact 3</t>
        </is>
      </c>
      <c r="B6" t="inlineStr">
        <is>
          <t>Moderate: limited data exposure, short downtime, possible complaint</t>
        </is>
      </c>
    </row>
    <row r="7">
      <c r="A7" t="inlineStr">
        <is>
          <t>Impact 5</t>
        </is>
      </c>
      <c r="B7" t="inlineStr">
        <is>
          <t>Severe: sensitive data exposed at scale, regulatory sanction, long downtime</t>
        </is>
      </c>
    </row>
    <row r="8">
      <c r="A8" t="inlineStr">
        <is>
          <t>Score</t>
        </is>
      </c>
      <c r="B8" t="inlineStr">
        <is>
          <t>Probability x Impact (1 to 25)</t>
        </is>
      </c>
    </row>
    <row r="9">
      <c r="A9" t="inlineStr">
        <is>
          <t>Level</t>
        </is>
      </c>
      <c r="B9" t="inlineStr">
        <is>
          <t>High &gt;= 15; Medium 8 to 14; Low &lt;= 7</t>
        </is>
      </c>
    </row>
    <row r="10">
      <c r="A10" t="inlineStr">
        <is>
          <t>Method</t>
        </is>
      </c>
      <c r="B10" t="inlineStr">
        <is>
          <t>Based on ISO 31000 and ISO/IEC 27005: identify, analyse, evaluate, treat, 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2026-10-20T13:21:26Z</dcterms:created>
  <dcterms:modified xmlns:dcterms="http://purl.org/dc/terms/" xmlns:xsi="http://www.w3.org/2001/XMLSchema-instance" xsi:type="dcterms:W3CDTF">2026-10-20T13:21:26Z</dcterms:modified>
</cp:coreProperties>
</file>