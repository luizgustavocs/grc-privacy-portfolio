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ap analysis" sheetId="2" state="visible" r:id="rId2"/>
    <sheet xmlns:r="http://schemas.openxmlformats.org/officeDocument/2006/relationships" name="Statement of Applicabilit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BE3A6"/>
        </patternFill>
      </fill>
    </dxf>
    <dxf>
      <fill>
        <patternFill patternType="solid">
          <fgColor rgb="00CDEBC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ISO/IEC 27001 gap analysis and Statement of Applicability: VitaClin (fictitious)</t>
        </is>
      </c>
    </row>
    <row r="2">
      <c r="A2" s="2" t="inlineStr">
        <is>
          <t>ISO/IEC 27001:2022 Annex A has 93 controls in 4 themes: Organizational (5.1 to 5.37), People (6.1 to 6.8), Physical (7.1 to 7.14), Technological (8.1 to 8.34).</t>
        </is>
      </c>
    </row>
    <row r="3">
      <c r="A3" s="2" t="inlineStr">
        <is>
          <t>Load the official control list from CISO Assistant (framework ISO/IEC 27001:2022) and paste it here, or do the assessment directly in CISO Assistant and export.</t>
        </is>
      </c>
    </row>
    <row r="4">
      <c r="A4" s="2" t="inlineStr">
        <is>
          <t>Blue rows are fictitious examples. Control titles of the examples should be checked against the framework loaded in CISO Assistant.</t>
        </is>
      </c>
    </row>
    <row r="5">
      <c r="A5" s="2" t="inlineStr">
        <is>
          <t>Maturity scale: 0 non-existent, 1 initial, 2 repeatable, 3 defined, 4 managed, 5 optimised.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6" customWidth="1" min="4" max="4"/>
    <col width="11" customWidth="1" min="5" max="5"/>
    <col width="30" customWidth="1" min="6" max="6"/>
    <col width="34" customWidth="1" min="7" max="7"/>
    <col width="34" customWidth="1" min="8" max="8"/>
    <col width="10" customWidth="1" min="9" max="9"/>
    <col width="14" customWidth="1" min="10" max="10"/>
    <col width="12" customWidth="1" min="11" max="11"/>
  </cols>
  <sheetData>
    <row r="1" ht="45" customHeight="1">
      <c r="A1" s="3" t="inlineStr">
        <is>
          <t>Control ID</t>
        </is>
      </c>
      <c r="B1" s="3" t="inlineStr">
        <is>
          <t>Control title (ISO/IEC 27002:2022)</t>
        </is>
      </c>
      <c r="C1" s="3" t="inlineStr">
        <is>
          <t>Theme</t>
        </is>
      </c>
      <c r="D1" s="3" t="inlineStr">
        <is>
          <t>Current status</t>
        </is>
      </c>
      <c r="E1" s="3" t="inlineStr">
        <is>
          <t>Maturity (0-5)</t>
        </is>
      </c>
      <c r="F1" s="3" t="inlineStr">
        <is>
          <t>Evidence available</t>
        </is>
      </c>
      <c r="G1" s="3" t="inlineStr">
        <is>
          <t>Gap / finding</t>
        </is>
      </c>
      <c r="H1" s="3" t="inlineStr">
        <is>
          <t>Recommendation</t>
        </is>
      </c>
      <c r="I1" s="3" t="inlineStr">
        <is>
          <t>Priority</t>
        </is>
      </c>
      <c r="J1" s="3" t="inlineStr">
        <is>
          <t>Owner</t>
        </is>
      </c>
      <c r="K1" s="3" t="inlineStr">
        <is>
          <t>Linked risk ID</t>
        </is>
      </c>
    </row>
    <row r="2">
      <c r="A2" s="4" t="inlineStr">
        <is>
          <t>5.15</t>
        </is>
      </c>
      <c r="B2" s="4" t="inlineStr">
        <is>
          <t>Access control</t>
        </is>
      </c>
      <c r="C2" s="4" t="inlineStr">
        <is>
          <t>Organizational</t>
        </is>
      </c>
      <c r="D2" s="4" t="inlineStr">
        <is>
          <t>Partially implemented</t>
        </is>
      </c>
      <c r="E2" s="4" t="n">
        <v>2</v>
      </c>
      <c r="F2" s="4" t="inlineStr">
        <is>
          <t>Role matrix exists for the app</t>
        </is>
      </c>
      <c r="G2" s="4" t="inlineStr">
        <is>
          <t>No documented access control policy; no periodic review</t>
        </is>
      </c>
      <c r="H2" s="4" t="inlineStr">
        <is>
          <t>Approve access control policy; quarterly review with evidence</t>
        </is>
      </c>
      <c r="I2" s="4" t="inlineStr">
        <is>
          <t>High</t>
        </is>
      </c>
      <c r="J2" s="4" t="inlineStr">
        <is>
          <t>CTO</t>
        </is>
      </c>
      <c r="K2" s="4" t="inlineStr">
        <is>
          <t>R-01</t>
        </is>
      </c>
    </row>
    <row r="3">
      <c r="A3" s="4" t="inlineStr">
        <is>
          <t>5.24</t>
        </is>
      </c>
      <c r="B3" s="4" t="inlineStr">
        <is>
          <t>Information security incident management planning and preparation</t>
        </is>
      </c>
      <c r="C3" s="4" t="inlineStr">
        <is>
          <t>Organizational</t>
        </is>
      </c>
      <c r="D3" s="4" t="inlineStr">
        <is>
          <t>Not implemented</t>
        </is>
      </c>
      <c r="E3" s="4" t="n">
        <v>0</v>
      </c>
      <c r="F3" s="4" t="inlineStr">
        <is>
          <t>None</t>
        </is>
      </c>
      <c r="G3" s="4" t="inlineStr">
        <is>
          <t>No incident response plan</t>
        </is>
      </c>
      <c r="H3" s="4" t="inlineStr">
        <is>
          <t>Approve plan (02-incident) and run a tabletop exercise</t>
        </is>
      </c>
      <c r="I3" s="4" t="inlineStr">
        <is>
          <t>High</t>
        </is>
      </c>
      <c r="J3" s="4" t="inlineStr">
        <is>
          <t>CISO</t>
        </is>
      </c>
      <c r="K3" s="4" t="inlineStr"/>
    </row>
    <row r="4">
      <c r="A4" s="4" t="inlineStr">
        <is>
          <t>5.34</t>
        </is>
      </c>
      <c r="B4" s="4" t="inlineStr">
        <is>
          <t>Privacy and protection of PII</t>
        </is>
      </c>
      <c r="C4" s="4" t="inlineStr">
        <is>
          <t>Organizational</t>
        </is>
      </c>
      <c r="D4" s="4" t="inlineStr">
        <is>
          <t>Partially implemented</t>
        </is>
      </c>
      <c r="E4" s="4" t="n">
        <v>2</v>
      </c>
      <c r="F4" s="4" t="inlineStr">
        <is>
          <t>Privacy notice published</t>
        </is>
      </c>
      <c r="G4" s="4" t="inlineStr">
        <is>
          <t>No ROPA, no DPIA for telemedicine</t>
        </is>
      </c>
      <c r="H4" s="4" t="inlineStr">
        <is>
          <t>Complete ROPA and DPIA (01-privacy)</t>
        </is>
      </c>
      <c r="I4" s="4" t="inlineStr">
        <is>
          <t>High</t>
        </is>
      </c>
      <c r="J4" s="4" t="inlineStr">
        <is>
          <t>DPO</t>
        </is>
      </c>
      <c r="K4" s="4" t="inlineStr"/>
    </row>
    <row r="5">
      <c r="A5" s="4" t="inlineStr">
        <is>
          <t>8.5</t>
        </is>
      </c>
      <c r="B5" s="4" t="inlineStr">
        <is>
          <t>Secure authentication</t>
        </is>
      </c>
      <c r="C5" s="4" t="inlineStr">
        <is>
          <t>Technological</t>
        </is>
      </c>
      <c r="D5" s="4" t="inlineStr">
        <is>
          <t>Partially implemented</t>
        </is>
      </c>
      <c r="E5" s="4" t="n">
        <v>2</v>
      </c>
      <c r="F5" s="4" t="inlineStr">
        <is>
          <t>MFA for staff</t>
        </is>
      </c>
      <c r="G5" s="4" t="inlineStr">
        <is>
          <t>MFA optional for clinic users</t>
        </is>
      </c>
      <c r="H5" s="4" t="inlineStr">
        <is>
          <t>Enforce MFA for all users</t>
        </is>
      </c>
      <c r="I5" s="4" t="inlineStr">
        <is>
          <t>High</t>
        </is>
      </c>
      <c r="J5" s="4" t="inlineStr">
        <is>
          <t>CTO</t>
        </is>
      </c>
      <c r="K5" s="4" t="inlineStr">
        <is>
          <t>R-01</t>
        </is>
      </c>
    </row>
    <row r="6">
      <c r="A6" s="4" t="inlineStr">
        <is>
          <t>8.13</t>
        </is>
      </c>
      <c r="B6" s="4" t="inlineStr">
        <is>
          <t>Information backup</t>
        </is>
      </c>
      <c r="C6" s="4" t="inlineStr">
        <is>
          <t>Technological</t>
        </is>
      </c>
      <c r="D6" s="4" t="inlineStr">
        <is>
          <t>Implemented</t>
        </is>
      </c>
      <c r="E6" s="4" t="n">
        <v>3</v>
      </c>
      <c r="F6" s="4" t="inlineStr">
        <is>
          <t>Daily automated backups</t>
        </is>
      </c>
      <c r="G6" s="4" t="inlineStr">
        <is>
          <t>Restore never tested</t>
        </is>
      </c>
      <c r="H6" s="4" t="inlineStr">
        <is>
          <t>Quarterly restore test with report</t>
        </is>
      </c>
      <c r="I6" s="4" t="inlineStr">
        <is>
          <t>Medium</t>
        </is>
      </c>
      <c r="J6" s="4" t="inlineStr">
        <is>
          <t>Infra</t>
        </is>
      </c>
      <c r="K6" s="4" t="inlineStr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</row>
  </sheetData>
  <conditionalFormatting sqref="D2:D101">
    <cfRule type="cellIs" priority="1" operator="equal" dxfId="0">
      <formula>"Not implemented"</formula>
    </cfRule>
    <cfRule type="cellIs" priority="2" operator="equal" dxfId="1">
      <formula>"Partially implemented"</formula>
    </cfRule>
    <cfRule type="cellIs" priority="3" operator="equal" dxfId="2">
      <formula>"Implemented"</formula>
    </cfRule>
  </conditionalFormatting>
  <dataValidations count="4">
    <dataValidation sqref="C2:C101" showDropDown="0" showInputMessage="0" showErrorMessage="0" allowBlank="1" type="list">
      <formula1>"Organizational,People,Physical,Technological"</formula1>
    </dataValidation>
    <dataValidation sqref="D2:D101" showDropDown="0" showInputMessage="0" showErrorMessage="0" allowBlank="1" type="list">
      <formula1>"Implemented,Partially implemented,Not implemented,Not applicable"</formula1>
    </dataValidation>
    <dataValidation sqref="I2:I101" showDropDown="0" showInputMessage="0" showErrorMessage="0" allowBlank="1" type="list">
      <formula1>"High,Medium,Low"</formula1>
    </dataValidation>
    <dataValidation sqref="E2:E101" showDropDown="0" showInputMessage="0" showErrorMessage="0" allowBlank="1" type="whole" operator="between">
      <formula1>0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1" customWidth="1" min="3" max="3"/>
    <col width="45" customWidth="1" min="4" max="4"/>
    <col width="13" customWidth="1" min="5" max="5"/>
    <col width="35" customWidth="1" min="6" max="6"/>
  </cols>
  <sheetData>
    <row r="1" ht="45" customHeight="1">
      <c r="A1" s="3" t="inlineStr">
        <is>
          <t>Control ID</t>
        </is>
      </c>
      <c r="B1" s="3" t="inlineStr">
        <is>
          <t>Control title</t>
        </is>
      </c>
      <c r="C1" s="3" t="inlineStr">
        <is>
          <t>Applicable?</t>
        </is>
      </c>
      <c r="D1" s="3" t="inlineStr">
        <is>
          <t>Justification for inclusion / exclusion</t>
        </is>
      </c>
      <c r="E1" s="3" t="inlineStr">
        <is>
          <t>Implemented?</t>
        </is>
      </c>
      <c r="F1" s="3" t="inlineStr">
        <is>
          <t>Reference document / evidence</t>
        </is>
      </c>
    </row>
    <row r="2">
      <c r="A2" s="4" t="inlineStr">
        <is>
          <t>5.15</t>
        </is>
      </c>
      <c r="B2" s="4" t="inlineStr">
        <is>
          <t>Access control</t>
        </is>
      </c>
      <c r="C2" s="4" t="inlineStr">
        <is>
          <t>Yes</t>
        </is>
      </c>
      <c r="D2" s="4" t="inlineStr">
        <is>
          <t>Protects health records (risk R-01); LGPD art. 46</t>
        </is>
      </c>
      <c r="E2" s="4" t="inlineStr">
        <is>
          <t>Partially</t>
        </is>
      </c>
      <c r="F2" s="4" t="inlineStr">
        <is>
          <t>policies/access-control-policy.md</t>
        </is>
      </c>
    </row>
    <row r="3">
      <c r="A3" s="4" t="inlineStr">
        <is>
          <t>7.1</t>
        </is>
      </c>
      <c r="B3" s="4" t="inlineStr">
        <is>
          <t>Physical security perimeters</t>
        </is>
      </c>
      <c r="C3" s="4" t="inlineStr">
        <is>
          <t>No</t>
        </is>
      </c>
      <c r="D3" s="4" t="inlineStr">
        <is>
          <t>Fully remote company; physical controls inherited from the cloud provider (see its ISO 27001 certificate)</t>
        </is>
      </c>
      <c r="E3" s="4" t="inlineStr">
        <is>
          <t>N/A</t>
        </is>
      </c>
      <c r="F3" s="4" t="inlineStr">
        <is>
          <t>Vendor assessment of the cloud provider</t>
        </is>
      </c>
    </row>
    <row r="4">
      <c r="A4" s="5" t="n"/>
      <c r="B4" s="5" t="n"/>
      <c r="C4" s="5" t="n"/>
      <c r="D4" s="5" t="n"/>
      <c r="E4" s="5" t="n"/>
      <c r="F4" s="5" t="n"/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  <row r="60">
      <c r="A60" s="5" t="n"/>
      <c r="B60" s="5" t="n"/>
      <c r="C60" s="5" t="n"/>
      <c r="D60" s="5" t="n"/>
      <c r="E60" s="5" t="n"/>
      <c r="F60" s="5" t="n"/>
    </row>
    <row r="61">
      <c r="A61" s="5" t="n"/>
      <c r="B61" s="5" t="n"/>
      <c r="C61" s="5" t="n"/>
      <c r="D61" s="5" t="n"/>
      <c r="E61" s="5" t="n"/>
      <c r="F61" s="5" t="n"/>
    </row>
    <row r="62">
      <c r="A62" s="5" t="n"/>
      <c r="B62" s="5" t="n"/>
      <c r="C62" s="5" t="n"/>
      <c r="D62" s="5" t="n"/>
      <c r="E62" s="5" t="n"/>
      <c r="F62" s="5" t="n"/>
    </row>
    <row r="63">
      <c r="A63" s="5" t="n"/>
      <c r="B63" s="5" t="n"/>
      <c r="C63" s="5" t="n"/>
      <c r="D63" s="5" t="n"/>
      <c r="E63" s="5" t="n"/>
      <c r="F63" s="5" t="n"/>
    </row>
    <row r="64">
      <c r="A64" s="5" t="n"/>
      <c r="B64" s="5" t="n"/>
      <c r="C64" s="5" t="n"/>
      <c r="D64" s="5" t="n"/>
      <c r="E64" s="5" t="n"/>
      <c r="F64" s="5" t="n"/>
    </row>
    <row r="65">
      <c r="A65" s="5" t="n"/>
      <c r="B65" s="5" t="n"/>
      <c r="C65" s="5" t="n"/>
      <c r="D65" s="5" t="n"/>
      <c r="E65" s="5" t="n"/>
      <c r="F65" s="5" t="n"/>
    </row>
    <row r="66">
      <c r="A66" s="5" t="n"/>
      <c r="B66" s="5" t="n"/>
      <c r="C66" s="5" t="n"/>
      <c r="D66" s="5" t="n"/>
      <c r="E66" s="5" t="n"/>
      <c r="F66" s="5" t="n"/>
    </row>
    <row r="67">
      <c r="A67" s="5" t="n"/>
      <c r="B67" s="5" t="n"/>
      <c r="C67" s="5" t="n"/>
      <c r="D67" s="5" t="n"/>
      <c r="E67" s="5" t="n"/>
      <c r="F67" s="5" t="n"/>
    </row>
    <row r="68">
      <c r="A68" s="5" t="n"/>
      <c r="B68" s="5" t="n"/>
      <c r="C68" s="5" t="n"/>
      <c r="D68" s="5" t="n"/>
      <c r="E68" s="5" t="n"/>
      <c r="F68" s="5" t="n"/>
    </row>
    <row r="69">
      <c r="A69" s="5" t="n"/>
      <c r="B69" s="5" t="n"/>
      <c r="C69" s="5" t="n"/>
      <c r="D69" s="5" t="n"/>
      <c r="E69" s="5" t="n"/>
      <c r="F69" s="5" t="n"/>
    </row>
    <row r="70">
      <c r="A70" s="5" t="n"/>
      <c r="B70" s="5" t="n"/>
      <c r="C70" s="5" t="n"/>
      <c r="D70" s="5" t="n"/>
      <c r="E70" s="5" t="n"/>
      <c r="F70" s="5" t="n"/>
    </row>
    <row r="71">
      <c r="A71" s="5" t="n"/>
      <c r="B71" s="5" t="n"/>
      <c r="C71" s="5" t="n"/>
      <c r="D71" s="5" t="n"/>
      <c r="E71" s="5" t="n"/>
      <c r="F71" s="5" t="n"/>
    </row>
    <row r="72">
      <c r="A72" s="5" t="n"/>
      <c r="B72" s="5" t="n"/>
      <c r="C72" s="5" t="n"/>
      <c r="D72" s="5" t="n"/>
      <c r="E72" s="5" t="n"/>
      <c r="F72" s="5" t="n"/>
    </row>
    <row r="73">
      <c r="A73" s="5" t="n"/>
      <c r="B73" s="5" t="n"/>
      <c r="C73" s="5" t="n"/>
      <c r="D73" s="5" t="n"/>
      <c r="E73" s="5" t="n"/>
      <c r="F73" s="5" t="n"/>
    </row>
    <row r="74">
      <c r="A74" s="5" t="n"/>
      <c r="B74" s="5" t="n"/>
      <c r="C74" s="5" t="n"/>
      <c r="D74" s="5" t="n"/>
      <c r="E74" s="5" t="n"/>
      <c r="F74" s="5" t="n"/>
    </row>
    <row r="75">
      <c r="A75" s="5" t="n"/>
      <c r="B75" s="5" t="n"/>
      <c r="C75" s="5" t="n"/>
      <c r="D75" s="5" t="n"/>
      <c r="E75" s="5" t="n"/>
      <c r="F75" s="5" t="n"/>
    </row>
    <row r="76">
      <c r="A76" s="5" t="n"/>
      <c r="B76" s="5" t="n"/>
      <c r="C76" s="5" t="n"/>
      <c r="D76" s="5" t="n"/>
      <c r="E76" s="5" t="n"/>
      <c r="F76" s="5" t="n"/>
    </row>
    <row r="77">
      <c r="A77" s="5" t="n"/>
      <c r="B77" s="5" t="n"/>
      <c r="C77" s="5" t="n"/>
      <c r="D77" s="5" t="n"/>
      <c r="E77" s="5" t="n"/>
      <c r="F77" s="5" t="n"/>
    </row>
    <row r="78">
      <c r="A78" s="5" t="n"/>
      <c r="B78" s="5" t="n"/>
      <c r="C78" s="5" t="n"/>
      <c r="D78" s="5" t="n"/>
      <c r="E78" s="5" t="n"/>
      <c r="F78" s="5" t="n"/>
    </row>
    <row r="79">
      <c r="A79" s="5" t="n"/>
      <c r="B79" s="5" t="n"/>
      <c r="C79" s="5" t="n"/>
      <c r="D79" s="5" t="n"/>
      <c r="E79" s="5" t="n"/>
      <c r="F79" s="5" t="n"/>
    </row>
    <row r="80">
      <c r="A80" s="5" t="n"/>
      <c r="B80" s="5" t="n"/>
      <c r="C80" s="5" t="n"/>
      <c r="D80" s="5" t="n"/>
      <c r="E80" s="5" t="n"/>
      <c r="F80" s="5" t="n"/>
    </row>
    <row r="81">
      <c r="A81" s="5" t="n"/>
      <c r="B81" s="5" t="n"/>
      <c r="C81" s="5" t="n"/>
      <c r="D81" s="5" t="n"/>
      <c r="E81" s="5" t="n"/>
      <c r="F81" s="5" t="n"/>
    </row>
    <row r="82">
      <c r="A82" s="5" t="n"/>
      <c r="B82" s="5" t="n"/>
      <c r="C82" s="5" t="n"/>
      <c r="D82" s="5" t="n"/>
      <c r="E82" s="5" t="n"/>
      <c r="F82" s="5" t="n"/>
    </row>
    <row r="83">
      <c r="A83" s="5" t="n"/>
      <c r="B83" s="5" t="n"/>
      <c r="C83" s="5" t="n"/>
      <c r="D83" s="5" t="n"/>
      <c r="E83" s="5" t="n"/>
      <c r="F83" s="5" t="n"/>
    </row>
    <row r="84">
      <c r="A84" s="5" t="n"/>
      <c r="B84" s="5" t="n"/>
      <c r="C84" s="5" t="n"/>
      <c r="D84" s="5" t="n"/>
      <c r="E84" s="5" t="n"/>
      <c r="F84" s="5" t="n"/>
    </row>
    <row r="85">
      <c r="A85" s="5" t="n"/>
      <c r="B85" s="5" t="n"/>
      <c r="C85" s="5" t="n"/>
      <c r="D85" s="5" t="n"/>
      <c r="E85" s="5" t="n"/>
      <c r="F85" s="5" t="n"/>
    </row>
    <row r="86">
      <c r="A86" s="5" t="n"/>
      <c r="B86" s="5" t="n"/>
      <c r="C86" s="5" t="n"/>
      <c r="D86" s="5" t="n"/>
      <c r="E86" s="5" t="n"/>
      <c r="F86" s="5" t="n"/>
    </row>
    <row r="87">
      <c r="A87" s="5" t="n"/>
      <c r="B87" s="5" t="n"/>
      <c r="C87" s="5" t="n"/>
      <c r="D87" s="5" t="n"/>
      <c r="E87" s="5" t="n"/>
      <c r="F87" s="5" t="n"/>
    </row>
    <row r="88">
      <c r="A88" s="5" t="n"/>
      <c r="B88" s="5" t="n"/>
      <c r="C88" s="5" t="n"/>
      <c r="D88" s="5" t="n"/>
      <c r="E88" s="5" t="n"/>
      <c r="F88" s="5" t="n"/>
    </row>
    <row r="89">
      <c r="A89" s="5" t="n"/>
      <c r="B89" s="5" t="n"/>
      <c r="C89" s="5" t="n"/>
      <c r="D89" s="5" t="n"/>
      <c r="E89" s="5" t="n"/>
      <c r="F89" s="5" t="n"/>
    </row>
    <row r="90">
      <c r="A90" s="5" t="n"/>
      <c r="B90" s="5" t="n"/>
      <c r="C90" s="5" t="n"/>
      <c r="D90" s="5" t="n"/>
      <c r="E90" s="5" t="n"/>
      <c r="F90" s="5" t="n"/>
    </row>
    <row r="91">
      <c r="A91" s="5" t="n"/>
      <c r="B91" s="5" t="n"/>
      <c r="C91" s="5" t="n"/>
      <c r="D91" s="5" t="n"/>
      <c r="E91" s="5" t="n"/>
      <c r="F91" s="5" t="n"/>
    </row>
    <row r="92">
      <c r="A92" s="5" t="n"/>
      <c r="B92" s="5" t="n"/>
      <c r="C92" s="5" t="n"/>
      <c r="D92" s="5" t="n"/>
      <c r="E92" s="5" t="n"/>
      <c r="F92" s="5" t="n"/>
    </row>
    <row r="93">
      <c r="A93" s="5" t="n"/>
      <c r="B93" s="5" t="n"/>
      <c r="C93" s="5" t="n"/>
      <c r="D93" s="5" t="n"/>
      <c r="E93" s="5" t="n"/>
      <c r="F93" s="5" t="n"/>
    </row>
    <row r="94">
      <c r="A94" s="5" t="n"/>
      <c r="B94" s="5" t="n"/>
      <c r="C94" s="5" t="n"/>
      <c r="D94" s="5" t="n"/>
      <c r="E94" s="5" t="n"/>
      <c r="F94" s="5" t="n"/>
    </row>
    <row r="95">
      <c r="A95" s="5" t="n"/>
      <c r="B95" s="5" t="n"/>
      <c r="C95" s="5" t="n"/>
      <c r="D95" s="5" t="n"/>
      <c r="E95" s="5" t="n"/>
      <c r="F95" s="5" t="n"/>
    </row>
    <row r="96">
      <c r="A96" s="5" t="n"/>
      <c r="B96" s="5" t="n"/>
      <c r="C96" s="5" t="n"/>
      <c r="D96" s="5" t="n"/>
      <c r="E96" s="5" t="n"/>
      <c r="F96" s="5" t="n"/>
    </row>
    <row r="97">
      <c r="A97" s="5" t="n"/>
      <c r="B97" s="5" t="n"/>
      <c r="C97" s="5" t="n"/>
      <c r="D97" s="5" t="n"/>
      <c r="E97" s="5" t="n"/>
      <c r="F97" s="5" t="n"/>
    </row>
    <row r="98">
      <c r="A98" s="5" t="n"/>
      <c r="B98" s="5" t="n"/>
      <c r="C98" s="5" t="n"/>
      <c r="D98" s="5" t="n"/>
      <c r="E98" s="5" t="n"/>
      <c r="F98" s="5" t="n"/>
    </row>
  </sheetData>
  <dataValidations count="2">
    <dataValidation sqref="C2:C98" showDropDown="0" showInputMessage="0" showErrorMessage="0" allowBlank="1" type="list">
      <formula1>"Yes,No"</formula1>
    </dataValidation>
    <dataValidation sqref="E2:E98" showDropDown="0" showInputMessage="0" showErrorMessage="0" allowBlank="1" type="list">
      <formula1>"Yes,Partially,No,N/A"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6" t="inlineStr">
        <is>
          <t>Status</t>
        </is>
      </c>
      <c r="B1" s="6" t="inlineStr">
        <is>
          <t>Number of controls</t>
        </is>
      </c>
    </row>
    <row r="2">
      <c r="A2" t="inlineStr">
        <is>
          <t>Implemented</t>
        </is>
      </c>
      <c r="B2">
        <f>COUNTIF('Gap analysis'!D:D,A2)</f>
        <v/>
      </c>
    </row>
    <row r="3">
      <c r="A3" t="inlineStr">
        <is>
          <t>Partially implemented</t>
        </is>
      </c>
      <c r="B3">
        <f>COUNTIF('Gap analysis'!D:D,A3)</f>
        <v/>
      </c>
    </row>
    <row r="4">
      <c r="A4" t="inlineStr">
        <is>
          <t>Not implemented</t>
        </is>
      </c>
      <c r="B4">
        <f>COUNTIF('Gap analysis'!D:D,A4)</f>
        <v/>
      </c>
    </row>
    <row r="5">
      <c r="A5" t="inlineStr">
        <is>
          <t>Not applicable</t>
        </is>
      </c>
      <c r="B5">
        <f>COUNTIF('Gap analysis'!D:D,A5)</f>
        <v/>
      </c>
    </row>
    <row r="6">
      <c r="A6" t="inlineStr">
        <is>
          <t>Total assessed</t>
        </is>
      </c>
      <c r="B6">
        <f>SUM(B2:B5)</f>
        <v/>
      </c>
    </row>
    <row r="7">
      <c r="A7" t="inlineStr">
        <is>
          <t>Average maturity</t>
        </is>
      </c>
      <c r="B7">
        <f>IFERROR(AVERAGE('Gap analysis'!E:E),"")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2026-10-20T13:21:26Z</dcterms:created>
  <dcterms:modified xmlns:dcterms="http://purl.org/dc/terms/" xmlns:xsi="http://www.w3.org/2001/XMLSchema-instance" xsi:type="dcterms:W3CDTF">2026-10-20T13:21:26Z</dcterms:modified>
</cp:coreProperties>
</file>